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7363188E-0BE3-45F6-A9C5-F3E6EAC358C0}" xr6:coauthVersionLast="47" xr6:coauthVersionMax="47" xr10:uidLastSave="{00000000-0000-0000-0000-000000000000}"/>
  <bookViews>
    <workbookView xWindow="-108" yWindow="-108" windowWidth="23256" windowHeight="12456" activeTab="2" xr2:uid="{065B9655-3D42-4E53-BCF0-B16CBA1CFCA3}"/>
  </bookViews>
  <sheets>
    <sheet name="Sales_Data" sheetId="1" r:id="rId1"/>
    <sheet name="Pivot_Data" sheetId="2" r:id="rId2"/>
    <sheet name="Dashboard" sheetId="3" r:id="rId3"/>
  </sheets>
  <definedNames>
    <definedName name="Slicer_Month">#N/A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 i="3" l="1"/>
  <c r="H2" i="1"/>
  <c r="H3" i="1"/>
  <c r="H4" i="1"/>
  <c r="H5" i="1"/>
  <c r="H6" i="1"/>
  <c r="H7" i="1"/>
  <c r="H8" i="1"/>
  <c r="H9" i="1"/>
  <c r="H10" i="1"/>
  <c r="H11" i="1"/>
  <c r="H12" i="1"/>
  <c r="H13" i="1"/>
  <c r="H14" i="1"/>
  <c r="H15" i="1"/>
  <c r="H16" i="1"/>
  <c r="H17" i="1"/>
  <c r="H18" i="1"/>
  <c r="H19" i="1"/>
  <c r="H20" i="1"/>
  <c r="H21" i="1"/>
  <c r="H22" i="1"/>
  <c r="H23" i="1"/>
  <c r="H24" i="1"/>
  <c r="H25" i="1"/>
  <c r="E4" i="3"/>
  <c r="G25" i="1"/>
  <c r="G24" i="1"/>
  <c r="G23" i="1"/>
  <c r="G22" i="1"/>
  <c r="G21" i="1"/>
  <c r="G20" i="1"/>
  <c r="G19" i="1"/>
  <c r="G18" i="1"/>
  <c r="G17" i="1"/>
  <c r="G16" i="1"/>
  <c r="G15" i="1"/>
  <c r="G14" i="1"/>
  <c r="G13" i="1"/>
  <c r="G12" i="1"/>
  <c r="G11" i="1"/>
  <c r="G10" i="1"/>
  <c r="K4" i="3"/>
  <c r="G3" i="1"/>
  <c r="G4" i="1"/>
  <c r="G5" i="1"/>
  <c r="G6" i="1"/>
  <c r="G7" i="1"/>
  <c r="G8" i="1"/>
  <c r="G9" i="1"/>
  <c r="G2" i="1"/>
</calcChain>
</file>

<file path=xl/sharedStrings.xml><?xml version="1.0" encoding="utf-8"?>
<sst xmlns="http://schemas.openxmlformats.org/spreadsheetml/2006/main" count="123" uniqueCount="38">
  <si>
    <t>Month</t>
  </si>
  <si>
    <t>Region</t>
  </si>
  <si>
    <t>Product</t>
  </si>
  <si>
    <t>Units Sold</t>
  </si>
  <si>
    <t>Unit Price</t>
  </si>
  <si>
    <t>Revenue</t>
  </si>
  <si>
    <t>March</t>
  </si>
  <si>
    <t>April</t>
  </si>
  <si>
    <t>January</t>
  </si>
  <si>
    <t>Feburary</t>
  </si>
  <si>
    <t>North</t>
  </si>
  <si>
    <t>South</t>
  </si>
  <si>
    <t>East</t>
  </si>
  <si>
    <t>West</t>
  </si>
  <si>
    <t>Laptop</t>
  </si>
  <si>
    <t>Mobile</t>
  </si>
  <si>
    <t>Tablet</t>
  </si>
  <si>
    <t>Row Labels</t>
  </si>
  <si>
    <t>Grand Total</t>
  </si>
  <si>
    <t>Sum of Revenue</t>
  </si>
  <si>
    <t>Sum of Units Sold</t>
  </si>
  <si>
    <t>Total Revenue</t>
  </si>
  <si>
    <t>Total Units Sold</t>
  </si>
  <si>
    <t>Top Product</t>
  </si>
  <si>
    <t>May</t>
  </si>
  <si>
    <t>June</t>
  </si>
  <si>
    <t>July</t>
  </si>
  <si>
    <t>August</t>
  </si>
  <si>
    <t>September</t>
  </si>
  <si>
    <t>October</t>
  </si>
  <si>
    <t>November</t>
  </si>
  <si>
    <t>December</t>
  </si>
  <si>
    <t>Top Region</t>
  </si>
  <si>
    <t>Profit</t>
  </si>
  <si>
    <t>Column1</t>
  </si>
  <si>
    <t>Cost Per Unit</t>
  </si>
  <si>
    <t>Sum of Profit</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</si>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</sst>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Times New Roman"/>
      <family val="1"/>
    </font>
    <font>
      <sz val="8"/>
      <name val="Calibri"/>
      <family val="2"/>
      <scheme val="minor"/>
    </font>
    <font>
      <b/>
      <sz val="20"/>
      <color theme="1"/>
      <name val="Segoe UI Black"/>
      <family val="2"/>
    </font>
    <font>
      <b/>
      <sz val="18"/>
      <color theme="1"/>
      <name val="Segoe UI Black"/>
      <family val="2"/>
    </font>
    <font>
      <sz val="11"/>
      <color theme="1"/>
      <name val="Segoe UI Black"/>
      <family val="2"/>
    </font>
    <font>
      <sz val="20"/>
      <color theme="1"/>
      <name val="Segoe UI Black"/>
      <family val="2"/>
    </font>
    <font>
      <sz val="18"/>
      <color theme="1"/>
      <name val="Segoe UI Black"/>
      <family val="2"/>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6">
    <xf numFmtId="0" fontId="0" fillId="0" borderId="0" xfId="0"/>
    <xf numFmtId="0" fontId="0" fillId="0" borderId="0" xfId="0" applyAlignment="1">
      <alignment vertical="center" wrapText="1"/>
    </xf>
    <xf numFmtId="0" fontId="1" fillId="0" borderId="0" xfId="0" applyFont="1"/>
    <xf numFmtId="0" fontId="1" fillId="0" borderId="0" xfId="0" applyFont="1" applyAlignment="1">
      <alignment vertical="center" wrapText="1"/>
    </xf>
    <xf numFmtId="0" fontId="0" fillId="0" borderId="0" xfId="0" pivotButton="1"/>
    <xf numFmtId="0" fontId="0" fillId="0" borderId="0" xfId="0" applyAlignment="1">
      <alignment horizontal="left"/>
    </xf>
    <xf numFmtId="0" fontId="0" fillId="2" borderId="2" xfId="0" applyFill="1" applyBorder="1"/>
    <xf numFmtId="0" fontId="0" fillId="2" borderId="4" xfId="0" applyFill="1" applyBorder="1"/>
    <xf numFmtId="0" fontId="3" fillId="2" borderId="1" xfId="0" applyFont="1" applyFill="1" applyBorder="1" applyAlignment="1">
      <alignment horizontal="left"/>
    </xf>
    <xf numFmtId="0" fontId="3" fillId="2" borderId="2" xfId="0" applyFont="1" applyFill="1" applyBorder="1" applyAlignment="1">
      <alignment horizontal="left"/>
    </xf>
    <xf numFmtId="0" fontId="4" fillId="2" borderId="1" xfId="0" applyFont="1" applyFill="1" applyBorder="1"/>
    <xf numFmtId="0" fontId="4" fillId="2" borderId="5" xfId="0" applyFont="1" applyFill="1" applyBorder="1"/>
    <xf numFmtId="0" fontId="4" fillId="2" borderId="3" xfId="0" applyFont="1" applyFill="1" applyBorder="1"/>
    <xf numFmtId="0" fontId="4" fillId="2" borderId="6" xfId="0" applyFont="1" applyFill="1" applyBorder="1"/>
    <xf numFmtId="0" fontId="6" fillId="2" borderId="4" xfId="0" applyFont="1" applyFill="1" applyBorder="1" applyAlignment="1">
      <alignment horizontal="left"/>
    </xf>
    <xf numFmtId="0" fontId="0" fillId="3" borderId="0" xfId="0" applyFill="1"/>
    <xf numFmtId="0" fontId="3" fillId="2" borderId="5" xfId="0" applyFont="1" applyFill="1" applyBorder="1" applyAlignment="1">
      <alignment horizontal="left"/>
    </xf>
    <xf numFmtId="0" fontId="5" fillId="3" borderId="0" xfId="0" applyFont="1" applyFill="1"/>
    <xf numFmtId="0" fontId="6" fillId="2" borderId="6" xfId="0" applyFont="1" applyFill="1" applyBorder="1" applyAlignment="1">
      <alignment horizontal="left"/>
    </xf>
    <xf numFmtId="0" fontId="7" fillId="2" borderId="1" xfId="0" applyFont="1" applyFill="1" applyBorder="1"/>
    <xf numFmtId="0" fontId="7" fillId="2" borderId="5" xfId="0" applyFont="1" applyFill="1" applyBorder="1"/>
    <xf numFmtId="0" fontId="7" fillId="2" borderId="3" xfId="0" applyFont="1" applyFill="1" applyBorder="1"/>
    <xf numFmtId="0" fontId="7" fillId="2" borderId="6" xfId="0" applyFont="1" applyFill="1" applyBorder="1"/>
    <xf numFmtId="0" fontId="6" fillId="2" borderId="3" xfId="0" applyFont="1" applyFill="1" applyBorder="1" applyAlignment="1">
      <alignment horizontal="left"/>
    </xf>
    <xf numFmtId="0" fontId="5" fillId="2" borderId="6" xfId="0" applyFont="1" applyFill="1" applyBorder="1" applyAlignment="1">
      <alignment horizontal="left"/>
    </xf>
    <xf numFmtId="0" fontId="5" fillId="2" borderId="5" xfId="0" applyFont="1" applyFill="1" applyBorder="1" applyAlignment="1">
      <alignment horizontal="left"/>
    </xf>
  </cellXfs>
  <cellStyles count="1">
    <cellStyle name="Normal" xfId="0" builtinId="0"/>
  </cellStyles>
  <dxfs count="2">
    <dxf>
      <numFmt numFmtId="0" formatCode="General"/>
    </dxf>
    <dxf>
      <font>
        <b/>
        <i val="0"/>
        <strike val="0"/>
        <condense val="0"/>
        <extend val="0"/>
        <outline val="0"/>
        <shadow val="0"/>
        <u val="none"/>
        <vertAlign val="baseline"/>
        <sz val="11"/>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[Sales_Performance_Analysis.xlsx]Pivot_Data!PivotTable1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400"/>
              <a:t>Revenue by Product</a:t>
            </a:r>
          </a:p>
        </c:rich>
      </c:tx>
      <c:layout>
        <c:manualLayout>
          <c:xMode val="edge"/>
          <c:yMode val="edge"/>
          <c:x val="0.30006172424892685"/>
          <c:y val="7.21588554703125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Pivot_Data!$A$2:$A$5</c:f>
              <c:strCache>
                <c:ptCount val="3"/>
                <c:pt idx="0">
                  <c:v>Laptop</c:v>
                </c:pt>
                <c:pt idx="1">
                  <c:v>Mobile</c:v>
                </c:pt>
                <c:pt idx="2">
                  <c:v>Tablet</c:v>
                </c:pt>
              </c:strCache>
            </c:strRef>
          </c:cat>
          <c:val>
            <c:numRef>
              <c:f>Pivot_Data!$B$2:$B$5</c:f>
              <c:numCache>
                <c:formatCode>General</c:formatCode>
                <c:ptCount val="3"/>
                <c:pt idx="0">
                  <c:v>28800000</c:v>
                </c:pt>
                <c:pt idx="1">
                  <c:v>23000000</c:v>
                </c:pt>
                <c:pt idx="2">
                  <c:v>14640000</c:v>
                </c:pt>
              </c:numCache>
            </c:numRef>
          </c:val>
          <c:extLst>
            <c:ext xmlns:c16="http://schemas.microsoft.com/office/drawing/2014/chart" uri="{C3380CC4-5D6E-409C-BE32-E72D297353CC}">
              <c16:uniqueId val="{00000001-98C9-4F1A-88BE-690BE37A9DF5}"/>
            </c:ext>
          </c:extLst>
        </c:ser>
        <c:dLbls>
          <c:dLblPos val="inEnd"/>
          <c:showLegendKey val="0"/>
          <c:showVal val="1"/>
          <c:showCatName val="0"/>
          <c:showSerName val="0"/>
          <c:showPercent val="0"/>
          <c:showBubbleSize val="0"/>
        </c:dLbls>
        <c:gapWidth val="65"/>
        <c:axId val="1547090927"/>
        <c:axId val="1547091759"/>
      </c:barChart>
      <c:catAx>
        <c:axId val="15470909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7091759"/>
        <c:crosses val="autoZero"/>
        <c:auto val="1"/>
        <c:lblAlgn val="ctr"/>
        <c:lblOffset val="100"/>
        <c:noMultiLvlLbl val="0"/>
      </c:catAx>
      <c:valAx>
        <c:axId val="15470917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70909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[Sales_Performance_Analysis.xlsx]Pivot_Data!PivotTable2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400"/>
              <a:t>Revenue by Region</a:t>
            </a:r>
          </a:p>
        </c:rich>
      </c:tx>
      <c:layout>
        <c:manualLayout>
          <c:xMode val="edge"/>
          <c:yMode val="edge"/>
          <c:x val="0.2313403704348746"/>
          <c:y val="0.12879391771872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Pivot_Data!$E$1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Pivot_Data!$D$2:$D$6</c:f>
              <c:strCache>
                <c:ptCount val="4"/>
                <c:pt idx="0">
                  <c:v>North</c:v>
                </c:pt>
                <c:pt idx="1">
                  <c:v>East</c:v>
                </c:pt>
                <c:pt idx="2">
                  <c:v>West</c:v>
                </c:pt>
                <c:pt idx="3">
                  <c:v>South</c:v>
                </c:pt>
              </c:strCache>
            </c:strRef>
          </c:cat>
          <c:val>
            <c:numRef>
              <c:f>Pivot_Data!$E$2:$E$6</c:f>
              <c:numCache>
                <c:formatCode>General</c:formatCode>
                <c:ptCount val="4"/>
                <c:pt idx="0">
                  <c:v>18620000</c:v>
                </c:pt>
                <c:pt idx="1">
                  <c:v>16930000</c:v>
                </c:pt>
                <c:pt idx="2">
                  <c:v>15820000</c:v>
                </c:pt>
                <c:pt idx="3">
                  <c:v>15070000</c:v>
                </c:pt>
              </c:numCache>
            </c:numRef>
          </c:val>
          <c:extLst>
            <c:ext xmlns:c16="http://schemas.microsoft.com/office/drawing/2014/chart" uri="{C3380CC4-5D6E-409C-BE32-E72D297353CC}">
              <c16:uniqueId val="{00000000-33FD-4BB3-B495-538DDC326AAA}"/>
            </c:ext>
          </c:extLst>
        </c:ser>
        <c:dLbls>
          <c:dLblPos val="inEnd"/>
          <c:showLegendKey val="0"/>
          <c:showVal val="1"/>
          <c:showCatName val="0"/>
          <c:showSerName val="0"/>
          <c:showPercent val="0"/>
          <c:showBubbleSize val="0"/>
        </c:dLbls>
        <c:gapWidth val="65"/>
        <c:axId val="1722053695"/>
        <c:axId val="1722048703"/>
      </c:barChart>
      <c:catAx>
        <c:axId val="1722053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2048703"/>
        <c:crosses val="autoZero"/>
        <c:auto val="1"/>
        <c:lblAlgn val="ctr"/>
        <c:lblOffset val="100"/>
        <c:noMultiLvlLbl val="0"/>
      </c:catAx>
      <c:valAx>
        <c:axId val="17220487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220536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[Sales_Performance_Analysis.xlsx]Pivot_Data!PivotTable3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400"/>
              <a:t>Monthly Sales Trend</a:t>
            </a:r>
          </a:p>
          <a:p>
            <a:pPr>
              <a:defRPr/>
            </a:pPr>
            <a:endParaRPr lang="en-US" sz="2400"/>
          </a:p>
        </c:rich>
      </c:tx>
      <c:layout>
        <c:manualLayout>
          <c:xMode val="edge"/>
          <c:yMode val="edge"/>
          <c:x val="0.26194444444444448"/>
          <c:y val="0.1378681831437736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Pivot_Data!$H$1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Pivot_Data!$G$2:$G$14</c:f>
              <c:strCache>
                <c:ptCount val="12"/>
                <c:pt idx="0">
                  <c:v>January</c:v>
                </c:pt>
                <c:pt idx="1">
                  <c:v>Feburary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Pivot_Data!$H$2:$H$14</c:f>
              <c:numCache>
                <c:formatCode>General</c:formatCode>
                <c:ptCount val="12"/>
                <c:pt idx="0">
                  <c:v>170</c:v>
                </c:pt>
                <c:pt idx="1">
                  <c:v>110</c:v>
                </c:pt>
                <c:pt idx="2">
                  <c:v>210</c:v>
                </c:pt>
                <c:pt idx="3">
                  <c:v>185</c:v>
                </c:pt>
                <c:pt idx="4">
                  <c:v>200</c:v>
                </c:pt>
                <c:pt idx="5">
                  <c:v>123</c:v>
                </c:pt>
                <c:pt idx="6">
                  <c:v>225</c:v>
                </c:pt>
                <c:pt idx="7">
                  <c:v>203</c:v>
                </c:pt>
                <c:pt idx="8">
                  <c:v>122</c:v>
                </c:pt>
                <c:pt idx="9">
                  <c:v>223</c:v>
                </c:pt>
                <c:pt idx="10">
                  <c:v>212</c:v>
                </c:pt>
                <c:pt idx="11">
                  <c:v>135</c:v>
                </c:pt>
              </c:numCache>
            </c:numRef>
          </c:val>
          <c:smooth val="0"/>
          <c:extLst>
            <c:ext xmlns:c16="http://schemas.microsoft.com/office/drawing/2014/chart" uri="{C3380CC4-5D6E-409C-BE32-E72D297353CC}">
              <c16:uniqueId val="{00000000-9AA1-4ED9-9A33-919D55F81702}"/>
            </c:ext>
          </c:extLst>
        </c:ser>
        <c:dLbls>
          <c:dLblPos val="ctr"/>
          <c:showLegendKey val="0"/>
          <c:showVal val="1"/>
          <c:showCatName val="0"/>
          <c:showSerName val="0"/>
          <c:showPercent val="0"/>
          <c:showBubbleSize val="0"/>
        </c:dLbls>
        <c:marker val="1"/>
        <c:smooth val="0"/>
        <c:axId val="1835234463"/>
        <c:axId val="1835222399"/>
      </c:lineChart>
      <c:catAx>
        <c:axId val="1835234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5222399"/>
        <c:crosses val="autoZero"/>
        <c:auto val="1"/>
        <c:lblAlgn val="ctr"/>
        <c:lblOffset val="100"/>
        <c:noMultiLvlLbl val="0"/>
      </c:catAx>
      <c:valAx>
        <c:axId val="18352223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352344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[Sales_Performance_Analysis.xlsx]Pivot_Data!PivotTable4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vs Profit by Product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Pivot_Data!$K$1</c:f>
              <c:strCache>
                <c:ptCount val="1"/>
                <c:pt idx="0">
                  <c:v>Sum of Profit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Pivot_Data!$J$2:$J$5</c:f>
              <c:strCache>
                <c:ptCount val="3"/>
                <c:pt idx="0">
                  <c:v>Laptop</c:v>
                </c:pt>
                <c:pt idx="1">
                  <c:v>Mobile</c:v>
                </c:pt>
                <c:pt idx="2">
                  <c:v>Tablet</c:v>
                </c:pt>
              </c:strCache>
            </c:strRef>
          </c:cat>
          <c:val>
            <c:numRef>
              <c:f>Pivot_Data!$K$2:$K$5</c:f>
              <c:numCache>
                <c:formatCode>General</c:formatCode>
                <c:ptCount val="3"/>
                <c:pt idx="0">
                  <c:v>7200000</c:v>
                </c:pt>
                <c:pt idx="1">
                  <c:v>5750000</c:v>
                </c:pt>
                <c:pt idx="2">
                  <c:v>3904000</c:v>
                </c:pt>
              </c:numCache>
            </c:numRef>
          </c:val>
          <c:extLst>
            <c:ext xmlns:c16="http://schemas.microsoft.com/office/drawing/2014/chart" uri="{C3380CC4-5D6E-409C-BE32-E72D297353CC}">
              <c16:uniqueId val="{00000000-1C52-43C3-88D9-70231493A3FD}"/>
            </c:ext>
          </c:extLst>
        </c:ser>
        <c:ser>
          <c:idx val="1"/>
          <c:order val="1"/>
          <c:tx>
            <c:strRef>
              <c:f>Pivot_Data!$L$1</c:f>
              <c:strCache>
                <c:ptCount val="1"/>
                <c:pt idx="0">
                  <c:v>Sum of Revenue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Pivot_Data!$J$2:$J$5</c:f>
              <c:strCache>
                <c:ptCount val="3"/>
                <c:pt idx="0">
                  <c:v>Laptop</c:v>
                </c:pt>
                <c:pt idx="1">
                  <c:v>Mobile</c:v>
                </c:pt>
                <c:pt idx="2">
                  <c:v>Tablet</c:v>
                </c:pt>
              </c:strCache>
            </c:strRef>
          </c:cat>
          <c:val>
            <c:numRef>
              <c:f>Pivot_Data!$L$2:$L$5</c:f>
              <c:numCache>
                <c:formatCode>General</c:formatCode>
                <c:ptCount val="3"/>
                <c:pt idx="0">
                  <c:v>28800000</c:v>
                </c:pt>
                <c:pt idx="1">
                  <c:v>23000000</c:v>
                </c:pt>
                <c:pt idx="2">
                  <c:v>14640000</c:v>
                </c:pt>
              </c:numCache>
            </c:numRef>
          </c:val>
          <c:extLst>
            <c:ext xmlns:c16="http://schemas.microsoft.com/office/drawing/2014/chart" uri="{C3380CC4-5D6E-409C-BE32-E72D297353CC}">
              <c16:uniqueId val="{00000001-1C52-43C3-88D9-70231493A3FD}"/>
            </c:ext>
          </c:extLst>
        </c:ser>
        <c:dLbls>
          <c:dLblPos val="inEnd"/>
          <c:showLegendKey val="0"/>
          <c:showVal val="1"/>
          <c:showCatName val="0"/>
          <c:showSerName val="0"/>
          <c:showPercent val="0"/>
          <c:showBubbleSize val="0"/>
        </c:dLbls>
        <c:gapWidth val="65"/>
        <c:axId val="1716557599"/>
        <c:axId val="1716558015"/>
      </c:barChart>
      <c:catAx>
        <c:axId val="1716557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16558015"/>
        <c:crosses val="autoZero"/>
        <c:auto val="1"/>
        <c:lblAlgn val="ctr"/>
        <c:lblOffset val="100"/>
        <c:noMultiLvlLbl val="0"/>
      </c:catAx>
      <c:valAx>
        <c:axId val="1716558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165575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105016</xdr:colOff>
      <xdr:row>5</xdr:row>
      <xdr:rowOff>179936</xdr:rowOff>
    </xdr:from>
    <xdr:to>
      <xdr:col>10</xdr:col>
      <xdr:colOff>598716</xdr:colOff>
      <xdr:row>24</xdr:row>
      <xdr:rowOff>3842</xdr:rowOff>
    </xdr:to>
    <xdr:graphicFrame macro="">
      <xdr:nvGraphicFramePr>
        <xdr:cNvPr id="2" name="Chart 1">
          <a:extLst>
            <a:ext uri="{FF2B5EF4-FFF2-40B4-BE49-F238E27FC236}">
              <a16:creationId xmlns:a16="http://schemas.microsoft.com/office/drawing/2014/main" id="{293D8FEB-027C-43CF-9B8E-E573E5E19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295064</xdr:colOff>
      <xdr:row>6</xdr:row>
      <xdr:rowOff>23694</xdr:rowOff>
    </xdr:from>
    <xdr:to>
      <xdr:col>20</xdr:col>
      <xdr:colOff>35857</xdr:colOff>
      <xdr:row>24</xdr:row>
      <xdr:rowOff>5764</xdr:rowOff>
    </xdr:to>
    <xdr:graphicFrame macro="">
      <xdr:nvGraphicFramePr>
        <xdr:cNvPr id="4" name="Chart 3">
          <a:extLst>
            <a:ext uri="{FF2B5EF4-FFF2-40B4-BE49-F238E27FC236}">
              <a16:creationId xmlns:a16="http://schemas.microsoft.com/office/drawing/2014/main" id="{5299DE31-1E13-4A7A-B8EC-48EF0626C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304799</xdr:colOff>
      <xdr:row>25</xdr:row>
      <xdr:rowOff>161364</xdr:rowOff>
    </xdr:from>
    <xdr:to>
      <xdr:col>20</xdr:col>
      <xdr:colOff>206188</xdr:colOff>
      <xdr:row>43</xdr:row>
      <xdr:rowOff>98612</xdr:rowOff>
    </xdr:to>
    <xdr:graphicFrame macro="">
      <xdr:nvGraphicFramePr>
        <xdr:cNvPr id="5" name="Chart 4">
          <a:extLst>
            <a:ext uri="{FF2B5EF4-FFF2-40B4-BE49-F238E27FC236}">
              <a16:creationId xmlns:a16="http://schemas.microsoft.com/office/drawing/2014/main" id="{C20D08FC-64E0-41D8-BEC6-440E04402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283029</xdr:colOff>
      <xdr:row>48</xdr:row>
      <xdr:rowOff>43543</xdr:rowOff>
    </xdr:from>
    <xdr:to>
      <xdr:col>5</xdr:col>
      <xdr:colOff>505225</xdr:colOff>
      <xdr:row>64</xdr:row>
      <xdr:rowOff>54428</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78FBC901-3533-4FC4-86DC-98185A909B1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92629" y="9587593"/>
              <a:ext cx="2736796" cy="3058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555170</xdr:colOff>
      <xdr:row>48</xdr:row>
      <xdr:rowOff>73479</xdr:rowOff>
    </xdr:from>
    <xdr:to>
      <xdr:col>10</xdr:col>
      <xdr:colOff>598713</xdr:colOff>
      <xdr:row>63</xdr:row>
      <xdr:rowOff>152400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FED63E3-6E9B-4A80-A6FA-EC36C4262E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88970" y="9617529"/>
              <a:ext cx="2481943" cy="2936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1349829</xdr:colOff>
      <xdr:row>48</xdr:row>
      <xdr:rowOff>65314</xdr:rowOff>
    </xdr:from>
    <xdr:to>
      <xdr:col>14</xdr:col>
      <xdr:colOff>566056</xdr:colOff>
      <xdr:row>63</xdr:row>
      <xdr:rowOff>130628</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86305DC2-90C5-4636-9339-7B917DF04E9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522029" y="9609364"/>
              <a:ext cx="3254827" cy="2922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259976</xdr:colOff>
      <xdr:row>71</xdr:row>
      <xdr:rowOff>134471</xdr:rowOff>
    </xdr:from>
    <xdr:ext cx="8256495" cy="530658"/>
    <xdr:sp macro="" textlink="">
      <xdr:nvSpPr>
        <xdr:cNvPr id="9" name="TextBox 8">
          <a:extLst>
            <a:ext uri="{FF2B5EF4-FFF2-40B4-BE49-F238E27FC236}">
              <a16:creationId xmlns:a16="http://schemas.microsoft.com/office/drawing/2014/main" id="{2CFEED07-C421-EB2A-54A7-612DF3CFC496}"/>
            </a:ext>
          </a:extLst>
        </xdr:cNvPr>
        <xdr:cNvSpPr txBox="1"/>
      </xdr:nvSpPr>
      <xdr:spPr>
        <a:xfrm>
          <a:off x="2698376" y="13294659"/>
          <a:ext cx="825649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Note: Some filter combinations may return no data.</a:t>
          </a:r>
        </a:p>
        <a:p>
          <a:endParaRPr lang="en-IN" sz="1400" b="1"/>
        </a:p>
      </xdr:txBody>
    </xdr:sp>
    <xdr:clientData/>
  </xdr:oneCellAnchor>
  <xdr:twoCellAnchor>
    <xdr:from>
      <xdr:col>2</xdr:col>
      <xdr:colOff>43543</xdr:colOff>
      <xdr:row>26</xdr:row>
      <xdr:rowOff>163285</xdr:rowOff>
    </xdr:from>
    <xdr:to>
      <xdr:col>10</xdr:col>
      <xdr:colOff>957943</xdr:colOff>
      <xdr:row>43</xdr:row>
      <xdr:rowOff>97971</xdr:rowOff>
    </xdr:to>
    <xdr:graphicFrame macro="">
      <xdr:nvGraphicFramePr>
        <xdr:cNvPr id="10" name="Chart 9">
          <a:extLst>
            <a:ext uri="{FF2B5EF4-FFF2-40B4-BE49-F238E27FC236}">
              <a16:creationId xmlns:a16="http://schemas.microsoft.com/office/drawing/2014/main" id="{3E73EEB7-9E23-42B3-B1D5-5E5B10B0A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4.01890185185" createdVersion="8" refreshedVersion="8" minRefreshableVersion="3" recordCount="24" xr:uid="{86A54942-02D6-4AA9-A7DC-82760FCC2E41}">
  <cacheSource type="worksheet">
    <worksheetSource name="Table1"/>
  </cacheSource>
  <cacheFields count="9">
    <cacheField name="Month" numFmtId="0">
      <sharedItems count="12">
        <s v="January"/>
        <s v="Feburary"/>
        <s v="March"/>
        <s v="April"/>
        <s v="May"/>
        <s v="June"/>
        <s v="July"/>
        <s v="August"/>
        <s v="September"/>
        <s v="October"/>
        <s v="November"/>
        <s v="December"/>
      </sharedItems>
    </cacheField>
    <cacheField name="Region" numFmtId="0">
      <sharedItems count="4">
        <s v="North"/>
        <s v="South"/>
        <s v="East"/>
        <s v="West"/>
      </sharedItems>
    </cacheField>
    <cacheField name="Product" numFmtId="0">
      <sharedItems count="3">
        <s v="Laptop"/>
        <s v="Mobile"/>
        <s v="Tablet"/>
      </sharedItems>
    </cacheField>
    <cacheField name="Units Sold" numFmtId="0">
      <sharedItems containsSemiMixedTypes="0" containsString="0" containsNumber="1" containsInteger="1" minValue="40" maxValue="160"/>
    </cacheField>
    <cacheField name="Unit Price" numFmtId="0">
      <sharedItems containsSemiMixedTypes="0" containsString="0" containsNumber="1" containsInteger="1" minValue="20000" maxValue="60000"/>
    </cacheField>
    <cacheField name="Cost Per Unit" numFmtId="0">
      <sharedItems containsSemiMixedTypes="0" containsString="0" containsNumber="1" containsInteger="1" minValue="15000" maxValue="45000"/>
    </cacheField>
    <cacheField name="Revenue" numFmtId="0">
      <sharedItems containsSemiMixedTypes="0" containsString="0" containsNumber="1" containsInteger="1" minValue="1800000" maxValue="3720000"/>
    </cacheField>
    <cacheField name="Profit" numFmtId="0">
      <sharedItems containsSemiMixedTypes="0" containsString="0" containsNumber="1" containsInteger="1" minValue="480000" maxValue="930000"/>
    </cacheField>
    <cacheField name="Column1" numFmtId="0">
      <sharedItems containsNonDate="0" containsString="0" containsBlank="1"/>
    </cacheField>
  </cacheFields>
  <extLst>
    <ext xmlns:x14="http://schemas.microsoft.com/office/spreadsheetml/2009/9/main" uri="{725AE2AE-9491-48be-B2B4-4EB974FC3084}">
      <x14:pivotCacheDefinition pivotCacheId="1462516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n v="50"/>
    <n v="60000"/>
    <n v="45000"/>
    <n v="3000000"/>
    <n v="750000"/>
    <m/>
  </r>
  <r>
    <x v="0"/>
    <x v="1"/>
    <x v="1"/>
    <n v="120"/>
    <n v="20000"/>
    <n v="15000"/>
    <n v="2400000"/>
    <n v="600000"/>
    <m/>
  </r>
  <r>
    <x v="1"/>
    <x v="2"/>
    <x v="0"/>
    <n v="40"/>
    <n v="60000"/>
    <n v="45000"/>
    <n v="2400000"/>
    <n v="600000"/>
    <m/>
  </r>
  <r>
    <x v="1"/>
    <x v="3"/>
    <x v="2"/>
    <n v="70"/>
    <n v="30000"/>
    <n v="22000"/>
    <n v="2100000"/>
    <n v="560000"/>
    <m/>
  </r>
  <r>
    <x v="2"/>
    <x v="0"/>
    <x v="1"/>
    <n v="150"/>
    <n v="20000"/>
    <n v="15000"/>
    <n v="3000000"/>
    <n v="750000"/>
    <m/>
  </r>
  <r>
    <x v="2"/>
    <x v="1"/>
    <x v="2"/>
    <n v="60"/>
    <n v="30000"/>
    <n v="22000"/>
    <n v="1800000"/>
    <n v="480000"/>
    <m/>
  </r>
  <r>
    <x v="3"/>
    <x v="2"/>
    <x v="0"/>
    <n v="55"/>
    <n v="60000"/>
    <n v="45000"/>
    <n v="3300000"/>
    <n v="825000"/>
    <m/>
  </r>
  <r>
    <x v="3"/>
    <x v="3"/>
    <x v="1"/>
    <n v="130"/>
    <n v="20000"/>
    <n v="15000"/>
    <n v="2600000"/>
    <n v="650000"/>
    <m/>
  </r>
  <r>
    <x v="4"/>
    <x v="0"/>
    <x v="0"/>
    <n v="60"/>
    <n v="60000"/>
    <n v="45000"/>
    <n v="3600000"/>
    <n v="900000"/>
    <m/>
  </r>
  <r>
    <x v="4"/>
    <x v="1"/>
    <x v="1"/>
    <n v="140"/>
    <n v="20000"/>
    <n v="15000"/>
    <n v="2800000"/>
    <n v="700000"/>
    <m/>
  </r>
  <r>
    <x v="5"/>
    <x v="2"/>
    <x v="2"/>
    <n v="75"/>
    <n v="30000"/>
    <n v="22000"/>
    <n v="2250000"/>
    <n v="600000"/>
    <m/>
  </r>
  <r>
    <x v="5"/>
    <x v="3"/>
    <x v="0"/>
    <n v="48"/>
    <n v="60000"/>
    <n v="45000"/>
    <n v="2880000"/>
    <n v="720000"/>
    <m/>
  </r>
  <r>
    <x v="6"/>
    <x v="0"/>
    <x v="1"/>
    <n v="160"/>
    <n v="20000"/>
    <n v="15000"/>
    <n v="3200000"/>
    <n v="800000"/>
    <m/>
  </r>
  <r>
    <x v="6"/>
    <x v="1"/>
    <x v="2"/>
    <n v="65"/>
    <n v="30000"/>
    <n v="22000"/>
    <n v="1950000"/>
    <n v="520000"/>
    <m/>
  </r>
  <r>
    <x v="7"/>
    <x v="2"/>
    <x v="0"/>
    <n v="58"/>
    <n v="60000"/>
    <n v="45000"/>
    <n v="3480000"/>
    <n v="870000"/>
    <m/>
  </r>
  <r>
    <x v="7"/>
    <x v="3"/>
    <x v="1"/>
    <n v="145"/>
    <n v="20000"/>
    <n v="15000"/>
    <n v="2900000"/>
    <n v="725000"/>
    <m/>
  </r>
  <r>
    <x v="8"/>
    <x v="0"/>
    <x v="2"/>
    <n v="70"/>
    <n v="30000"/>
    <n v="22000"/>
    <n v="2100000"/>
    <n v="560000"/>
    <m/>
  </r>
  <r>
    <x v="8"/>
    <x v="1"/>
    <x v="0"/>
    <n v="52"/>
    <n v="60000"/>
    <n v="45000"/>
    <n v="3120000"/>
    <n v="780000"/>
    <m/>
  </r>
  <r>
    <x v="9"/>
    <x v="2"/>
    <x v="1"/>
    <n v="155"/>
    <n v="20000"/>
    <n v="15000"/>
    <n v="3100000"/>
    <n v="775000"/>
    <m/>
  </r>
  <r>
    <x v="9"/>
    <x v="3"/>
    <x v="2"/>
    <n v="68"/>
    <n v="30000"/>
    <n v="22000"/>
    <n v="2040000"/>
    <n v="544000"/>
    <m/>
  </r>
  <r>
    <x v="10"/>
    <x v="0"/>
    <x v="0"/>
    <n v="62"/>
    <n v="60000"/>
    <n v="45000"/>
    <n v="3720000"/>
    <n v="930000"/>
    <m/>
  </r>
  <r>
    <x v="10"/>
    <x v="1"/>
    <x v="1"/>
    <n v="150"/>
    <n v="20000"/>
    <n v="15000"/>
    <n v="3000000"/>
    <n v="750000"/>
    <m/>
  </r>
  <r>
    <x v="11"/>
    <x v="2"/>
    <x v="2"/>
    <n v="80"/>
    <n v="30000"/>
    <n v="22000"/>
    <n v="2400000"/>
    <n v="640000"/>
    <m/>
  </r>
  <r>
    <x v="11"/>
    <x v="3"/>
    <x v="0"/>
    <n v="55"/>
    <n v="60000"/>
    <n v="45000"/>
    <n v="3300000"/>
    <n v="825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CCB42B-B4FE-47C8-86F9-B72D65EDED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L5" firstHeaderRow="0" firstDataRow="1" firstDataCol="1"/>
  <pivotFields count="9">
    <pivotField showAll="0"/>
    <pivotField showAll="0"/>
    <pivotField axis="axisRow" showAll="0">
      <items count="4">
        <item x="0"/>
        <item x="1"/>
        <item x="2"/>
        <item t="default"/>
      </items>
    </pivotField>
    <pivotField showAll="0"/>
    <pivotField showAll="0"/>
    <pivotField showAll="0"/>
    <pivotField dataField="1"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Profit" fld="7" baseField="0" baseItem="0"/>
    <dataField name="Sum of Revenue" fld="6"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4211A1-3A5D-4990-BB2C-D7A1F1C094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H14" firstHeaderRow="1" firstDataRow="1" firstDataCol="1"/>
  <pivotFields count="9">
    <pivotField axis="axisRow" showAll="0">
      <items count="13">
        <item x="0"/>
        <item x="1"/>
        <item x="2"/>
        <item x="3"/>
        <item x="4"/>
        <item x="5"/>
        <item x="6"/>
        <item x="7"/>
        <item x="8"/>
        <item x="9"/>
        <item x="10"/>
        <item x="11"/>
        <item t="default"/>
      </items>
    </pivotField>
    <pivotField showAll="0">
      <items count="5">
        <item x="2"/>
        <item x="0"/>
        <item x="1"/>
        <item x="3"/>
        <item t="default"/>
      </items>
    </pivotField>
    <pivotField showAll="0">
      <items count="4">
        <item x="0"/>
        <item x="1"/>
        <item x="2"/>
        <item t="default"/>
      </items>
    </pivotField>
    <pivotField dataField="1"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Units Sold"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1A1131-A56A-4B3E-A97C-7319EED9C9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6" firstHeaderRow="1" firstDataRow="1" firstDataCol="1"/>
  <pivotFields count="9">
    <pivotField showAll="0">
      <items count="13">
        <item x="0"/>
        <item x="2"/>
        <item x="3"/>
        <item x="4"/>
        <item x="5"/>
        <item x="6"/>
        <item x="7"/>
        <item x="8"/>
        <item x="9"/>
        <item x="10"/>
        <item x="11"/>
        <item x="1"/>
        <item t="default"/>
      </items>
    </pivotField>
    <pivotField axis="axisRow" showAll="0">
      <items count="5">
        <item x="0"/>
        <item x="2"/>
        <item x="3"/>
        <item x="1"/>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Sum of Revenu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F1C462-778A-49FC-95CF-39274840D5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9">
    <pivotField showAll="0">
      <items count="13">
        <item x="0"/>
        <item x="2"/>
        <item x="3"/>
        <item x="4"/>
        <item x="5"/>
        <item x="6"/>
        <item x="7"/>
        <item x="8"/>
        <item x="9"/>
        <item x="10"/>
        <item x="11"/>
        <item x="1"/>
        <item t="default"/>
      </items>
    </pivotField>
    <pivotField showAll="0">
      <items count="5">
        <item x="2"/>
        <item x="0"/>
        <item x="1"/>
        <item x="3"/>
        <item t="default"/>
      </items>
    </pivotField>
    <pivotField axis="axisRow" showAll="0">
      <items count="4">
        <item x="0"/>
        <item x="1"/>
        <item x="2"/>
        <item t="default"/>
      </items>
    </pivotField>
    <pivotField showAll="0"/>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Revenue" fld="6"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14FE85B-6DBE-4C9F-9D90-8EEFBA088B8D}" sourceName="Product">
  <pivotTables>
    <pivotTable tabId="2" name="PivotTable3"/>
    <pivotTable tabId="2" name="PivotTable1"/>
    <pivotTable tabId="2" name="PivotTable2"/>
  </pivotTables>
  <data>
    <tabular pivotCacheId="14625161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8BA7A0-452C-4599-A8C7-D79A38F5654A}" sourceName="Region">
  <pivotTables>
    <pivotTable tabId="2" name="PivotTable3"/>
    <pivotTable tabId="2" name="PivotTable1"/>
    <pivotTable tabId="2" name="PivotTable2"/>
  </pivotTables>
  <data>
    <tabular pivotCacheId="1462516165">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452A99-436C-49A1-8913-6C3A3D141475}" sourceName="Month">
  <pivotTables>
    <pivotTable tabId="2" name="PivotTable3"/>
    <pivotTable tabId="2" name="PivotTable1"/>
    <pivotTable tabId="2" name="PivotTable2"/>
  </pivotTables>
  <data>
    <tabular pivotCacheId="1462516165">
      <items count="12">
        <i x="0" s="1"/>
        <i x="2" s="1"/>
        <i x="3" s="1"/>
        <i x="4" s="1"/>
        <i x="5" s="1"/>
        <i x="6" s="1"/>
        <i x="7" s="1"/>
        <i x="8" s="1"/>
        <i x="9" s="1"/>
        <i x="10" s="1"/>
        <i x="11"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6B5C4C7-41B7-4924-AFE4-B34F82139770}" cache="Slicer_Product" caption="Product" rowHeight="234950"/>
  <slicer name="Region" xr10:uid="{82267A53-EC2A-4874-8A8D-1C65D25007C8}" cache="Slicer_Region" caption="Region" rowHeight="234950"/>
  <slicer name="Month" xr10:uid="{4296BBD1-0F37-470F-8FE2-0AA30558A799}"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B85A67-2262-4BBF-8193-7B506BD52388}" name="Table1" displayName="Table1" ref="A1:I25" totalsRowShown="0" headerRowDxfId="1">
  <autoFilter ref="A1:I25" xr:uid="{5AB85A67-2262-4BBF-8193-7B506BD52388}"/>
  <tableColumns count="9">
    <tableColumn id="1" xr3:uid="{032345B7-54C8-4FAC-BE64-85FB17674DB9}" name="Month"/>
    <tableColumn id="2" xr3:uid="{09538C17-4CBE-4B46-B75C-BEBF8F944781}" name="Region"/>
    <tableColumn id="3" xr3:uid="{65EA8AB9-FC5A-4028-A4F7-179EA0EF7707}" name="Product"/>
    <tableColumn id="4" xr3:uid="{448D31DE-E283-4CB3-AC4E-30088E1C9932}" name="Units Sold"/>
    <tableColumn id="5" xr3:uid="{E84F47CB-BD4A-4358-9903-03F7A7CBE293}" name="Unit Price"/>
    <tableColumn id="7" xr3:uid="{1A50DE11-32DA-40BE-BEEF-CD823C5585A9}" name="Cost Per Unit"/>
    <tableColumn id="6" xr3:uid="{AC26E03E-0235-474F-B7E8-05C08F6B515C}" name="Revenue">
      <calculatedColumnFormula>D2*E2</calculatedColumnFormula>
    </tableColumn>
    <tableColumn id="8" xr3:uid="{3722931C-BB2B-4014-B6D0-D1454541596A}" name="Profit" dataDxfId="0">
      <calculatedColumnFormula>(E2 - F2) * D2</calculatedColumnFormula>
    </tableColumn>
    <tableColumn id="9" xr3:uid="{B39E25E9-3614-43FA-BB70-B7E37B1EBFF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3632-654B-461A-9E1B-32F8EDFEF5EC}">
  <dimension ref="A1:I25"/>
  <sheetViews>
    <sheetView topLeftCell="A21" workbookViewId="0">
      <selection activeCell="H26" sqref="H26"/>
    </sheetView>
  </sheetViews>
  <sheetFormatPr defaultRowHeight="14.4" x14ac:dyDescent="0.3"/>
  <cols>
    <col min="2" max="2" width="9" customWidth="1"/>
    <col min="3" max="3" width="9.77734375" customWidth="1"/>
    <col min="4" max="4" width="11.88671875" customWidth="1"/>
    <col min="5" max="5" width="11.5546875" customWidth="1"/>
    <col min="6" max="6" width="10.21875" customWidth="1"/>
  </cols>
  <sheetData>
    <row r="1" spans="1:9" x14ac:dyDescent="0.3">
      <c r="A1" s="2" t="s">
        <v>0</v>
      </c>
      <c r="B1" s="2" t="s">
        <v>1</v>
      </c>
      <c r="C1" s="2" t="s">
        <v>2</v>
      </c>
      <c r="D1" s="2" t="s">
        <v>3</v>
      </c>
      <c r="E1" s="2" t="s">
        <v>4</v>
      </c>
      <c r="F1" s="2" t="s">
        <v>35</v>
      </c>
      <c r="G1" s="3" t="s">
        <v>5</v>
      </c>
      <c r="H1" s="2" t="s">
        <v>33</v>
      </c>
      <c r="I1" s="2" t="s">
        <v>34</v>
      </c>
    </row>
    <row r="2" spans="1:9" x14ac:dyDescent="0.3">
      <c r="A2" t="s">
        <v>8</v>
      </c>
      <c r="B2" t="s">
        <v>10</v>
      </c>
      <c r="C2" t="s">
        <v>14</v>
      </c>
      <c r="D2">
        <v>50</v>
      </c>
      <c r="E2">
        <v>60000</v>
      </c>
      <c r="F2">
        <v>45000</v>
      </c>
      <c r="G2">
        <f t="shared" ref="G2:G25" si="0">D2*E2</f>
        <v>3000000</v>
      </c>
      <c r="H2">
        <f t="shared" ref="H2:H25" si="1">(E2 - F2) * D2</f>
        <v>750000</v>
      </c>
    </row>
    <row r="3" spans="1:9" x14ac:dyDescent="0.3">
      <c r="A3" t="s">
        <v>8</v>
      </c>
      <c r="B3" t="s">
        <v>11</v>
      </c>
      <c r="C3" t="s">
        <v>15</v>
      </c>
      <c r="D3">
        <v>120</v>
      </c>
      <c r="E3">
        <v>20000</v>
      </c>
      <c r="F3">
        <v>15000</v>
      </c>
      <c r="G3">
        <f t="shared" si="0"/>
        <v>2400000</v>
      </c>
      <c r="H3">
        <f t="shared" si="1"/>
        <v>600000</v>
      </c>
    </row>
    <row r="4" spans="1:9" x14ac:dyDescent="0.3">
      <c r="A4" t="s">
        <v>9</v>
      </c>
      <c r="B4" t="s">
        <v>12</v>
      </c>
      <c r="C4" t="s">
        <v>14</v>
      </c>
      <c r="D4">
        <v>40</v>
      </c>
      <c r="E4">
        <v>60000</v>
      </c>
      <c r="F4">
        <v>45000</v>
      </c>
      <c r="G4">
        <f t="shared" si="0"/>
        <v>2400000</v>
      </c>
      <c r="H4">
        <f t="shared" si="1"/>
        <v>600000</v>
      </c>
    </row>
    <row r="5" spans="1:9" x14ac:dyDescent="0.3">
      <c r="A5" t="s">
        <v>9</v>
      </c>
      <c r="B5" t="s">
        <v>13</v>
      </c>
      <c r="C5" t="s">
        <v>16</v>
      </c>
      <c r="D5">
        <v>70</v>
      </c>
      <c r="E5" s="1">
        <v>30000</v>
      </c>
      <c r="F5">
        <v>22000</v>
      </c>
      <c r="G5">
        <f t="shared" si="0"/>
        <v>2100000</v>
      </c>
      <c r="H5">
        <f t="shared" si="1"/>
        <v>560000</v>
      </c>
    </row>
    <row r="6" spans="1:9" x14ac:dyDescent="0.3">
      <c r="A6" t="s">
        <v>6</v>
      </c>
      <c r="B6" t="s">
        <v>10</v>
      </c>
      <c r="C6" t="s">
        <v>15</v>
      </c>
      <c r="D6">
        <v>150</v>
      </c>
      <c r="E6" s="1">
        <v>20000</v>
      </c>
      <c r="F6">
        <v>15000</v>
      </c>
      <c r="G6">
        <f t="shared" si="0"/>
        <v>3000000</v>
      </c>
      <c r="H6">
        <f t="shared" si="1"/>
        <v>750000</v>
      </c>
    </row>
    <row r="7" spans="1:9" x14ac:dyDescent="0.3">
      <c r="A7" t="s">
        <v>6</v>
      </c>
      <c r="B7" t="s">
        <v>11</v>
      </c>
      <c r="C7" t="s">
        <v>16</v>
      </c>
      <c r="D7">
        <v>60</v>
      </c>
      <c r="E7">
        <v>30000</v>
      </c>
      <c r="F7">
        <v>22000</v>
      </c>
      <c r="G7">
        <f t="shared" si="0"/>
        <v>1800000</v>
      </c>
      <c r="H7">
        <f t="shared" si="1"/>
        <v>480000</v>
      </c>
    </row>
    <row r="8" spans="1:9" x14ac:dyDescent="0.3">
      <c r="A8" t="s">
        <v>7</v>
      </c>
      <c r="B8" t="s">
        <v>12</v>
      </c>
      <c r="C8" t="s">
        <v>14</v>
      </c>
      <c r="D8">
        <v>55</v>
      </c>
      <c r="E8">
        <v>60000</v>
      </c>
      <c r="F8">
        <v>45000</v>
      </c>
      <c r="G8">
        <f t="shared" si="0"/>
        <v>3300000</v>
      </c>
      <c r="H8">
        <f t="shared" si="1"/>
        <v>825000</v>
      </c>
    </row>
    <row r="9" spans="1:9" x14ac:dyDescent="0.3">
      <c r="A9" t="s">
        <v>7</v>
      </c>
      <c r="B9" t="s">
        <v>13</v>
      </c>
      <c r="C9" t="s">
        <v>15</v>
      </c>
      <c r="D9">
        <v>130</v>
      </c>
      <c r="E9">
        <v>20000</v>
      </c>
      <c r="F9">
        <v>15000</v>
      </c>
      <c r="G9">
        <f t="shared" si="0"/>
        <v>2600000</v>
      </c>
      <c r="H9">
        <f t="shared" si="1"/>
        <v>650000</v>
      </c>
    </row>
    <row r="10" spans="1:9" x14ac:dyDescent="0.3">
      <c r="A10" t="s">
        <v>24</v>
      </c>
      <c r="B10" t="s">
        <v>10</v>
      </c>
      <c r="C10" t="s">
        <v>14</v>
      </c>
      <c r="D10">
        <v>60</v>
      </c>
      <c r="E10">
        <v>60000</v>
      </c>
      <c r="F10">
        <v>45000</v>
      </c>
      <c r="G10">
        <f t="shared" si="0"/>
        <v>3600000</v>
      </c>
      <c r="H10">
        <f t="shared" si="1"/>
        <v>900000</v>
      </c>
    </row>
    <row r="11" spans="1:9" x14ac:dyDescent="0.3">
      <c r="A11" t="s">
        <v>24</v>
      </c>
      <c r="B11" t="s">
        <v>11</v>
      </c>
      <c r="C11" t="s">
        <v>15</v>
      </c>
      <c r="D11">
        <v>140</v>
      </c>
      <c r="E11">
        <v>20000</v>
      </c>
      <c r="F11">
        <v>15000</v>
      </c>
      <c r="G11">
        <f t="shared" si="0"/>
        <v>2800000</v>
      </c>
      <c r="H11">
        <f t="shared" si="1"/>
        <v>700000</v>
      </c>
    </row>
    <row r="12" spans="1:9" x14ac:dyDescent="0.3">
      <c r="A12" t="s">
        <v>25</v>
      </c>
      <c r="B12" t="s">
        <v>12</v>
      </c>
      <c r="C12" t="s">
        <v>16</v>
      </c>
      <c r="D12">
        <v>75</v>
      </c>
      <c r="E12">
        <v>30000</v>
      </c>
      <c r="F12">
        <v>22000</v>
      </c>
      <c r="G12">
        <f t="shared" si="0"/>
        <v>2250000</v>
      </c>
      <c r="H12">
        <f t="shared" si="1"/>
        <v>600000</v>
      </c>
    </row>
    <row r="13" spans="1:9" x14ac:dyDescent="0.3">
      <c r="A13" t="s">
        <v>25</v>
      </c>
      <c r="B13" t="s">
        <v>13</v>
      </c>
      <c r="C13" t="s">
        <v>14</v>
      </c>
      <c r="D13">
        <v>48</v>
      </c>
      <c r="E13">
        <v>60000</v>
      </c>
      <c r="F13">
        <v>45000</v>
      </c>
      <c r="G13">
        <f t="shared" si="0"/>
        <v>2880000</v>
      </c>
      <c r="H13">
        <f t="shared" si="1"/>
        <v>720000</v>
      </c>
    </row>
    <row r="14" spans="1:9" x14ac:dyDescent="0.3">
      <c r="A14" t="s">
        <v>26</v>
      </c>
      <c r="B14" t="s">
        <v>10</v>
      </c>
      <c r="C14" t="s">
        <v>15</v>
      </c>
      <c r="D14">
        <v>160</v>
      </c>
      <c r="E14">
        <v>20000</v>
      </c>
      <c r="F14">
        <v>15000</v>
      </c>
      <c r="G14">
        <f t="shared" si="0"/>
        <v>3200000</v>
      </c>
      <c r="H14">
        <f t="shared" si="1"/>
        <v>800000</v>
      </c>
    </row>
    <row r="15" spans="1:9" x14ac:dyDescent="0.3">
      <c r="A15" t="s">
        <v>26</v>
      </c>
      <c r="B15" t="s">
        <v>11</v>
      </c>
      <c r="C15" t="s">
        <v>16</v>
      </c>
      <c r="D15">
        <v>65</v>
      </c>
      <c r="E15">
        <v>30000</v>
      </c>
      <c r="F15">
        <v>22000</v>
      </c>
      <c r="G15">
        <f t="shared" si="0"/>
        <v>1950000</v>
      </c>
      <c r="H15">
        <f t="shared" si="1"/>
        <v>520000</v>
      </c>
    </row>
    <row r="16" spans="1:9" x14ac:dyDescent="0.3">
      <c r="A16" t="s">
        <v>27</v>
      </c>
      <c r="B16" t="s">
        <v>12</v>
      </c>
      <c r="C16" t="s">
        <v>14</v>
      </c>
      <c r="D16">
        <v>58</v>
      </c>
      <c r="E16">
        <v>60000</v>
      </c>
      <c r="F16">
        <v>45000</v>
      </c>
      <c r="G16">
        <f t="shared" si="0"/>
        <v>3480000</v>
      </c>
      <c r="H16">
        <f t="shared" si="1"/>
        <v>870000</v>
      </c>
    </row>
    <row r="17" spans="1:8" x14ac:dyDescent="0.3">
      <c r="A17" t="s">
        <v>27</v>
      </c>
      <c r="B17" t="s">
        <v>13</v>
      </c>
      <c r="C17" t="s">
        <v>15</v>
      </c>
      <c r="D17">
        <v>145</v>
      </c>
      <c r="E17">
        <v>20000</v>
      </c>
      <c r="F17">
        <v>15000</v>
      </c>
      <c r="G17">
        <f t="shared" si="0"/>
        <v>2900000</v>
      </c>
      <c r="H17">
        <f t="shared" si="1"/>
        <v>725000</v>
      </c>
    </row>
    <row r="18" spans="1:8" x14ac:dyDescent="0.3">
      <c r="A18" t="s">
        <v>28</v>
      </c>
      <c r="B18" t="s">
        <v>10</v>
      </c>
      <c r="C18" t="s">
        <v>16</v>
      </c>
      <c r="D18">
        <v>70</v>
      </c>
      <c r="E18">
        <v>30000</v>
      </c>
      <c r="F18">
        <v>22000</v>
      </c>
      <c r="G18">
        <f t="shared" si="0"/>
        <v>2100000</v>
      </c>
      <c r="H18">
        <f t="shared" si="1"/>
        <v>560000</v>
      </c>
    </row>
    <row r="19" spans="1:8" x14ac:dyDescent="0.3">
      <c r="A19" t="s">
        <v>28</v>
      </c>
      <c r="B19" t="s">
        <v>11</v>
      </c>
      <c r="C19" t="s">
        <v>14</v>
      </c>
      <c r="D19">
        <v>52</v>
      </c>
      <c r="E19">
        <v>60000</v>
      </c>
      <c r="F19">
        <v>45000</v>
      </c>
      <c r="G19">
        <f t="shared" si="0"/>
        <v>3120000</v>
      </c>
      <c r="H19">
        <f t="shared" si="1"/>
        <v>780000</v>
      </c>
    </row>
    <row r="20" spans="1:8" x14ac:dyDescent="0.3">
      <c r="A20" t="s">
        <v>29</v>
      </c>
      <c r="B20" t="s">
        <v>12</v>
      </c>
      <c r="C20" t="s">
        <v>15</v>
      </c>
      <c r="D20">
        <v>155</v>
      </c>
      <c r="E20">
        <v>20000</v>
      </c>
      <c r="F20">
        <v>15000</v>
      </c>
      <c r="G20">
        <f t="shared" si="0"/>
        <v>3100000</v>
      </c>
      <c r="H20">
        <f t="shared" si="1"/>
        <v>775000</v>
      </c>
    </row>
    <row r="21" spans="1:8" x14ac:dyDescent="0.3">
      <c r="A21" t="s">
        <v>29</v>
      </c>
      <c r="B21" t="s">
        <v>13</v>
      </c>
      <c r="C21" t="s">
        <v>16</v>
      </c>
      <c r="D21">
        <v>68</v>
      </c>
      <c r="E21">
        <v>30000</v>
      </c>
      <c r="F21">
        <v>22000</v>
      </c>
      <c r="G21">
        <f t="shared" si="0"/>
        <v>2040000</v>
      </c>
      <c r="H21">
        <f t="shared" si="1"/>
        <v>544000</v>
      </c>
    </row>
    <row r="22" spans="1:8" x14ac:dyDescent="0.3">
      <c r="A22" t="s">
        <v>30</v>
      </c>
      <c r="B22" t="s">
        <v>10</v>
      </c>
      <c r="C22" t="s">
        <v>14</v>
      </c>
      <c r="D22">
        <v>62</v>
      </c>
      <c r="E22">
        <v>60000</v>
      </c>
      <c r="F22">
        <v>45000</v>
      </c>
      <c r="G22">
        <f t="shared" si="0"/>
        <v>3720000</v>
      </c>
      <c r="H22">
        <f t="shared" si="1"/>
        <v>930000</v>
      </c>
    </row>
    <row r="23" spans="1:8" x14ac:dyDescent="0.3">
      <c r="A23" t="s">
        <v>30</v>
      </c>
      <c r="B23" t="s">
        <v>11</v>
      </c>
      <c r="C23" t="s">
        <v>15</v>
      </c>
      <c r="D23">
        <v>150</v>
      </c>
      <c r="E23">
        <v>20000</v>
      </c>
      <c r="F23">
        <v>15000</v>
      </c>
      <c r="G23">
        <f t="shared" si="0"/>
        <v>3000000</v>
      </c>
      <c r="H23">
        <f t="shared" si="1"/>
        <v>750000</v>
      </c>
    </row>
    <row r="24" spans="1:8" x14ac:dyDescent="0.3">
      <c r="A24" t="s">
        <v>31</v>
      </c>
      <c r="B24" t="s">
        <v>12</v>
      </c>
      <c r="C24" t="s">
        <v>16</v>
      </c>
      <c r="D24">
        <v>80</v>
      </c>
      <c r="E24">
        <v>30000</v>
      </c>
      <c r="F24">
        <v>22000</v>
      </c>
      <c r="G24">
        <f t="shared" si="0"/>
        <v>2400000</v>
      </c>
      <c r="H24">
        <f t="shared" si="1"/>
        <v>640000</v>
      </c>
    </row>
    <row r="25" spans="1:8" x14ac:dyDescent="0.3">
      <c r="A25" t="s">
        <v>31</v>
      </c>
      <c r="B25" t="s">
        <v>13</v>
      </c>
      <c r="C25" t="s">
        <v>14</v>
      </c>
      <c r="D25">
        <v>55</v>
      </c>
      <c r="E25">
        <v>60000</v>
      </c>
      <c r="F25">
        <v>45000</v>
      </c>
      <c r="G25">
        <f t="shared" si="0"/>
        <v>3300000</v>
      </c>
      <c r="H25">
        <f t="shared" si="1"/>
        <v>825000</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F0197-C2FA-4076-B09F-75E67DC8954B}">
  <dimension ref="A1:L14"/>
  <sheetViews>
    <sheetView zoomScaleNormal="100" workbookViewId="0">
      <selection activeCell="K3" sqref="K3"/>
    </sheetView>
  </sheetViews>
  <sheetFormatPr defaultRowHeight="14.4" x14ac:dyDescent="0.3"/>
  <cols>
    <col min="1" max="1" width="12.5546875" bestFit="1" customWidth="1"/>
    <col min="2" max="2" width="14.88671875" bestFit="1" customWidth="1"/>
    <col min="3" max="3" width="16" bestFit="1" customWidth="1"/>
    <col min="4" max="4" width="12.5546875" bestFit="1" customWidth="1"/>
    <col min="5" max="5" width="14.88671875" bestFit="1" customWidth="1"/>
    <col min="6" max="6" width="9" customWidth="1"/>
    <col min="7" max="7" width="12.5546875" bestFit="1" customWidth="1"/>
    <col min="8" max="8" width="16" bestFit="1" customWidth="1"/>
    <col min="10" max="10" width="12.5546875" bestFit="1" customWidth="1"/>
    <col min="11" max="11" width="12.109375" bestFit="1" customWidth="1"/>
    <col min="12" max="12" width="14.88671875" bestFit="1" customWidth="1"/>
  </cols>
  <sheetData>
    <row r="1" spans="1:12" x14ac:dyDescent="0.3">
      <c r="A1" s="4" t="s">
        <v>17</v>
      </c>
      <c r="B1" t="s">
        <v>19</v>
      </c>
      <c r="D1" s="4" t="s">
        <v>17</v>
      </c>
      <c r="E1" t="s">
        <v>19</v>
      </c>
      <c r="G1" s="4" t="s">
        <v>17</v>
      </c>
      <c r="H1" t="s">
        <v>20</v>
      </c>
      <c r="J1" s="4" t="s">
        <v>17</v>
      </c>
      <c r="K1" t="s">
        <v>36</v>
      </c>
      <c r="L1" t="s">
        <v>19</v>
      </c>
    </row>
    <row r="2" spans="1:12" x14ac:dyDescent="0.3">
      <c r="A2" s="5" t="s">
        <v>14</v>
      </c>
      <c r="B2">
        <v>28800000</v>
      </c>
      <c r="D2" s="5" t="s">
        <v>10</v>
      </c>
      <c r="E2">
        <v>18620000</v>
      </c>
      <c r="G2" s="5" t="s">
        <v>8</v>
      </c>
      <c r="H2">
        <v>170</v>
      </c>
      <c r="J2" s="5" t="s">
        <v>14</v>
      </c>
      <c r="K2">
        <v>7200000</v>
      </c>
      <c r="L2">
        <v>28800000</v>
      </c>
    </row>
    <row r="3" spans="1:12" x14ac:dyDescent="0.3">
      <c r="A3" s="5" t="s">
        <v>15</v>
      </c>
      <c r="B3">
        <v>23000000</v>
      </c>
      <c r="D3" s="5" t="s">
        <v>12</v>
      </c>
      <c r="E3">
        <v>16930000</v>
      </c>
      <c r="G3" s="5" t="s">
        <v>9</v>
      </c>
      <c r="H3">
        <v>110</v>
      </c>
      <c r="J3" s="5" t="s">
        <v>15</v>
      </c>
      <c r="K3">
        <v>5750000</v>
      </c>
      <c r="L3">
        <v>23000000</v>
      </c>
    </row>
    <row r="4" spans="1:12" x14ac:dyDescent="0.3">
      <c r="A4" s="5" t="s">
        <v>16</v>
      </c>
      <c r="B4">
        <v>14640000</v>
      </c>
      <c r="D4" s="5" t="s">
        <v>13</v>
      </c>
      <c r="E4">
        <v>15820000</v>
      </c>
      <c r="G4" s="5" t="s">
        <v>6</v>
      </c>
      <c r="H4">
        <v>210</v>
      </c>
      <c r="J4" s="5" t="s">
        <v>16</v>
      </c>
      <c r="K4">
        <v>3904000</v>
      </c>
      <c r="L4">
        <v>14640000</v>
      </c>
    </row>
    <row r="5" spans="1:12" x14ac:dyDescent="0.3">
      <c r="A5" s="5" t="s">
        <v>18</v>
      </c>
      <c r="B5">
        <v>66440000</v>
      </c>
      <c r="D5" s="5" t="s">
        <v>11</v>
      </c>
      <c r="E5">
        <v>15070000</v>
      </c>
      <c r="G5" s="5" t="s">
        <v>7</v>
      </c>
      <c r="H5">
        <v>185</v>
      </c>
      <c r="J5" s="5" t="s">
        <v>18</v>
      </c>
      <c r="K5">
        <v>16854000</v>
      </c>
      <c r="L5">
        <v>66440000</v>
      </c>
    </row>
    <row r="6" spans="1:12" x14ac:dyDescent="0.3">
      <c r="D6" s="5" t="s">
        <v>18</v>
      </c>
      <c r="E6">
        <v>66440000</v>
      </c>
      <c r="G6" s="5" t="s">
        <v>24</v>
      </c>
      <c r="H6">
        <v>200</v>
      </c>
    </row>
    <row r="7" spans="1:12" x14ac:dyDescent="0.3">
      <c r="G7" s="5" t="s">
        <v>25</v>
      </c>
      <c r="H7">
        <v>123</v>
      </c>
    </row>
    <row r="8" spans="1:12" x14ac:dyDescent="0.3">
      <c r="G8" s="5" t="s">
        <v>26</v>
      </c>
      <c r="H8">
        <v>225</v>
      </c>
    </row>
    <row r="9" spans="1:12" x14ac:dyDescent="0.3">
      <c r="G9" s="5" t="s">
        <v>27</v>
      </c>
      <c r="H9">
        <v>203</v>
      </c>
    </row>
    <row r="10" spans="1:12" x14ac:dyDescent="0.3">
      <c r="G10" s="5" t="s">
        <v>28</v>
      </c>
      <c r="H10">
        <v>122</v>
      </c>
    </row>
    <row r="11" spans="1:12" x14ac:dyDescent="0.3">
      <c r="G11" s="5" t="s">
        <v>29</v>
      </c>
      <c r="H11">
        <v>223</v>
      </c>
    </row>
    <row r="12" spans="1:12" x14ac:dyDescent="0.3">
      <c r="G12" s="5" t="s">
        <v>30</v>
      </c>
      <c r="H12">
        <v>212</v>
      </c>
    </row>
    <row r="13" spans="1:12" x14ac:dyDescent="0.3">
      <c r="G13" s="5" t="s">
        <v>31</v>
      </c>
      <c r="H13">
        <v>135</v>
      </c>
    </row>
    <row r="14" spans="1:12" x14ac:dyDescent="0.3">
      <c r="G14" s="5" t="s">
        <v>18</v>
      </c>
      <c r="H14">
        <v>2118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03C00-A437-4D02-ABB2-236A9A8D998F}">
  <dimension ref="E2:AA6"/>
  <sheetViews>
    <sheetView showGridLines="0" tabSelected="1" zoomScale="40" zoomScaleNormal="40" workbookViewId="0">
      <selection activeCell="Y50" sqref="Y50"/>
    </sheetView>
  </sheetViews>
  <sheetFormatPr defaultRowHeight="14.4" x14ac:dyDescent="0.3"/>
  <cols>
    <col min="5" max="5" width="9.88671875" bestFit="1" customWidth="1"/>
    <col min="11" max="11" width="32.33203125" bestFit="1" customWidth="1"/>
  </cols>
  <sheetData>
    <row r="2" spans="5:27" x14ac:dyDescent="0.3">
      <c r="E2" s="15"/>
      <c r="F2" s="15"/>
      <c r="G2" s="15"/>
      <c r="H2" s="15"/>
    </row>
    <row r="3" spans="5:27" ht="29.4" x14ac:dyDescent="0.65">
      <c r="E3" s="10" t="s">
        <v>22</v>
      </c>
      <c r="F3" s="11"/>
      <c r="G3" s="25"/>
      <c r="H3" s="6"/>
      <c r="K3" s="8" t="s">
        <v>21</v>
      </c>
      <c r="L3" s="9"/>
      <c r="P3" s="19" t="s">
        <v>23</v>
      </c>
      <c r="Q3" s="20"/>
      <c r="R3" s="6"/>
      <c r="U3" s="8" t="s">
        <v>32</v>
      </c>
      <c r="V3" s="16"/>
      <c r="W3" s="6"/>
      <c r="Y3" s="8" t="s">
        <v>37</v>
      </c>
      <c r="Z3" s="16"/>
      <c r="AA3" s="6"/>
    </row>
    <row r="4" spans="5:27" ht="29.4" x14ac:dyDescent="0.65">
      <c r="E4" s="12">
        <f>Pivot_Data!H14</f>
        <v>2118</v>
      </c>
      <c r="F4" s="13"/>
      <c r="G4" s="24"/>
      <c r="H4" s="7"/>
      <c r="K4" s="23" t="str">
        <f>"₹ "&amp;ROUND(Pivot_Data!B5/10000000,2)&amp;" Cr"</f>
        <v>₹ 6.64 Cr</v>
      </c>
      <c r="L4" s="14"/>
      <c r="M4" s="17"/>
      <c r="P4" s="21" t="s">
        <v>14</v>
      </c>
      <c r="Q4" s="22"/>
      <c r="R4" s="7"/>
      <c r="U4" s="23" t="s">
        <v>10</v>
      </c>
      <c r="V4" s="18"/>
      <c r="W4" s="7"/>
      <c r="Y4" s="23" t="str">
        <f>"₹ "&amp;ROUND(Pivot_Data!E5/10000000,2)&amp;" Cr"</f>
        <v>₹ 1.51 Cr</v>
      </c>
      <c r="Z4" s="18"/>
      <c r="AA4" s="7"/>
    </row>
    <row r="5" spans="5:27" ht="16.8" x14ac:dyDescent="0.4">
      <c r="M5" s="17"/>
    </row>
    <row r="6" spans="5:27" x14ac:dyDescent="0.3">
      <c r="M6"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2026-01-21T10:41:21Z</dcterms:created>
  <dcterms:modified xsi:type="dcterms:W3CDTF">2026-01-22T09:11:21Z</dcterms:modified>
</cp:coreProperties>
</file>